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xtOri\Planning de la semaine\"/>
    </mc:Choice>
  </mc:AlternateContent>
  <xr:revisionPtr revIDLastSave="0" documentId="13_ncr:1_{294986E9-1226-427F-9CA2-9F1D5CD51B50}" xr6:coauthVersionLast="47" xr6:coauthVersionMax="47" xr10:uidLastSave="{00000000-0000-0000-0000-000000000000}"/>
  <bookViews>
    <workbookView xWindow="-120" yWindow="-120" windowWidth="20730" windowHeight="11160" activeTab="3" xr2:uid="{149C7D14-FD66-4BB6-9593-C9A067902534}"/>
  </bookViews>
  <sheets>
    <sheet name="Feuil1" sheetId="1" r:id="rId1"/>
    <sheet name="Feuil 2" sheetId="2" r:id="rId2"/>
    <sheet name="Feuil 3" sheetId="3" r:id="rId3"/>
    <sheet name="Feuil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4" l="1"/>
  <c r="F8" i="4"/>
  <c r="F10" i="4" s="1"/>
  <c r="F7" i="4"/>
  <c r="F6" i="4"/>
  <c r="F5" i="4"/>
  <c r="F4" i="4"/>
  <c r="F3" i="4"/>
  <c r="F6" i="3"/>
  <c r="F9" i="3"/>
  <c r="F8" i="3"/>
  <c r="F7" i="3"/>
  <c r="F5" i="3"/>
  <c r="F4" i="3"/>
  <c r="F3" i="3"/>
  <c r="F9" i="2"/>
  <c r="F8" i="2"/>
  <c r="F7" i="2"/>
  <c r="F5" i="2"/>
  <c r="F4" i="2"/>
  <c r="F3" i="2"/>
  <c r="F10" i="2" s="1"/>
  <c r="F10" i="1"/>
  <c r="F3" i="1"/>
  <c r="F4" i="1"/>
  <c r="F5" i="1"/>
  <c r="F7" i="1"/>
  <c r="F8" i="1"/>
  <c r="F9" i="1"/>
  <c r="F10" i="3" l="1"/>
</calcChain>
</file>

<file path=xl/sharedStrings.xml><?xml version="1.0" encoding="utf-8"?>
<sst xmlns="http://schemas.openxmlformats.org/spreadsheetml/2006/main" count="100" uniqueCount="38">
  <si>
    <t>Lundi</t>
  </si>
  <si>
    <t>Mardi</t>
  </si>
  <si>
    <t>Mercredi</t>
  </si>
  <si>
    <t>Jeudi</t>
  </si>
  <si>
    <t>Vendredi</t>
  </si>
  <si>
    <t>Samedi</t>
  </si>
  <si>
    <t>Dimanche</t>
  </si>
  <si>
    <t>Suite page Dashboard NextOri</t>
  </si>
  <si>
    <t>Fin prévu de la page Dashboard</t>
  </si>
  <si>
    <t>Debut page metiers</t>
  </si>
  <si>
    <t>Fin prévu de la page metiers</t>
  </si>
  <si>
    <t>Debut page universites-catalogue</t>
  </si>
  <si>
    <t xml:space="preserve">Revision de lecon </t>
  </si>
  <si>
    <t>Planning de la semaine du 27/07/2026 au 01/08/2026</t>
  </si>
  <si>
    <t>Recapitulatif de la semaine et mise en place du plannig de la semaine prochaine</t>
  </si>
  <si>
    <t>Taches</t>
  </si>
  <si>
    <t>Date</t>
  </si>
  <si>
    <t>Debut/h</t>
  </si>
  <si>
    <t>Fin/h</t>
  </si>
  <si>
    <t>Duree/h</t>
  </si>
  <si>
    <t>Volume horaire</t>
  </si>
  <si>
    <t xml:space="preserve">Auteur: </t>
  </si>
  <si>
    <t xml:space="preserve">Laurent </t>
  </si>
  <si>
    <t>Denbin</t>
  </si>
  <si>
    <t>MASSOYA</t>
  </si>
  <si>
    <t>Planning de la semaine du 03/08/2026 au 09/08/2026</t>
  </si>
  <si>
    <t>Completer la base de donnees des metiers, filieres et universites</t>
  </si>
  <si>
    <t>Gestion des favoris et historiques</t>
  </si>
  <si>
    <t xml:space="preserve">Gestion des series de connexion et elargissement calcul de points et de badges </t>
  </si>
  <si>
    <t>Debut page Dashboard Admin</t>
  </si>
  <si>
    <t>Fin prevu de la page Dashboard Admin</t>
  </si>
  <si>
    <t>Planning de la semaine du 07/09/2026 au 13/09/2026</t>
  </si>
  <si>
    <t>Gerer les contacts des universites</t>
  </si>
  <si>
    <t>Ajouter Emia dans les universites et les liaisons restantes en universites et filieres</t>
  </si>
  <si>
    <t>Page j'Hesite debut</t>
  </si>
  <si>
    <t>Page j'Hesite suite</t>
  </si>
  <si>
    <t>Page j'Hesite Fin</t>
  </si>
  <si>
    <t>Creation  de videos pour les reseaux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</si>
</sst>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4B212-B6D0-4E43-A56C-37D94FFF9C11}" name="Tableau1" displayName="Tableau1" ref="B2:F10" totalsRowShown="0">
  <autoFilter ref="B2:F10" xr:uid="{2EC4B212-B6D0-4E43-A56C-37D94FFF9C11}"/>
  <tableColumns count="5">
    <tableColumn id="1" xr3:uid="{ED853F11-50FD-4F15-865E-C0C5B71DDB6F}" name="Date"/>
    <tableColumn id="2" xr3:uid="{3F409BE1-FE7A-4BF9-B86B-9AFFF638C21A}" name="Taches"/>
    <tableColumn id="3" xr3:uid="{5FDCAA10-02BF-4111-95A6-2647F2F13D00}" name="Debut/h"/>
    <tableColumn id="4" xr3:uid="{F37070A9-060A-4EBF-A049-73AF8CEED0D8}" name="Fin/h"/>
    <tableColumn id="5" xr3:uid="{0154D75D-FDEB-47F3-BE13-E55FB442A6D9}" name="Duree/h" dataDxfId="2">
      <calculatedColumnFormula>Tableau1[[#This Row],[Fin/h]]-Tableau1[[#This Row],[Debut/h]]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5620D-21AC-46EA-8769-D8D21BD8BC54}" name="Tableau13" displayName="Tableau13" ref="B2:F10" totalsRowShown="0">
  <autoFilter ref="B2:F10" xr:uid="{2EC4B212-B6D0-4E43-A56C-37D94FFF9C11}"/>
  <tableColumns count="5">
    <tableColumn id="1" xr3:uid="{47A016C0-F158-4BEE-8572-11220636706E}" name="Date"/>
    <tableColumn id="2" xr3:uid="{ECBBB647-29EF-4D0C-8ED4-7312B8FB94F6}" name="Taches"/>
    <tableColumn id="3" xr3:uid="{3E0B87A4-D1A7-4D70-9C5B-0267AEDAB739}" name="Debut/h"/>
    <tableColumn id="4" xr3:uid="{4545CED6-857E-4B74-AC2C-3D6BA5B7E04E}" name="Fin/h"/>
    <tableColumn id="5" xr3:uid="{59F0DDFD-B50B-4BF3-9E22-57E02A15D5B8}" name="Duree/h" dataDxfId="1">
      <calculatedColumnFormula>Tableau13[[#This Row],[Fin/h]]-Tableau13[[#This Row],[Debut/h]]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C55C-2FEB-425B-9BD9-4CB667889EC0}" name="Tableau134" displayName="Tableau134" ref="B2:F10" totalsRowShown="0">
  <autoFilter ref="B2:F10" xr:uid="{2EC4B212-B6D0-4E43-A56C-37D94FFF9C11}"/>
  <tableColumns count="5">
    <tableColumn id="1" xr3:uid="{B925323E-4455-49B2-867A-C4E111C8920D}" name="Date"/>
    <tableColumn id="2" xr3:uid="{5A674E2D-FB72-4B25-93D1-97451AC57929}" name="Taches"/>
    <tableColumn id="3" xr3:uid="{BBF56A72-37AE-47B7-ACC7-1C687AC759F9}" name="Debut/h"/>
    <tableColumn id="4" xr3:uid="{CE86FA85-E547-4B97-AB5F-944B28E082A5}" name="Fin/h"/>
    <tableColumn id="5" xr3:uid="{E5794E05-C022-4FD4-8EC7-A55D5EA6316F}" name="Duree/h" dataDxfId="3">
      <calculatedColumnFormula>Tableau134[[#This Row],[Fin/h]]-Tableau134[[#This Row],[Debut/h]]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5A2607-197C-4C0E-836E-E0290FB6B4A3}" name="Tableau1345" displayName="Tableau1345" ref="B2:F10" totalsRowShown="0">
  <autoFilter ref="B2:F10" xr:uid="{2EC4B212-B6D0-4E43-A56C-37D94FFF9C11}"/>
  <tableColumns count="5">
    <tableColumn id="1" xr3:uid="{CBEDE8F7-447A-4E33-8A5B-ADC7E4093A0B}" name="Date"/>
    <tableColumn id="2" xr3:uid="{E1DEBF6C-2443-4037-B60F-53D3C70C0B17}" name="Taches"/>
    <tableColumn id="3" xr3:uid="{440F39B4-7DC9-43C3-8F7D-682F72CEEDBE}" name="Debut/h"/>
    <tableColumn id="4" xr3:uid="{F7088775-0F4F-4AA6-911A-28D1D4E91B79}" name="Fin/h"/>
    <tableColumn id="5" xr3:uid="{AC8074CB-073D-48C2-AB2B-8CE41FB01B44}" name="Duree/h" dataDxfId="0">
      <calculatedColumnFormula>Tableau1345[[#This Row],[Fin/h]]-Tableau1345[[#This Row],[Debut/h]]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1760-9AF6-4197-A234-C159674A5990}">
  <dimension ref="B1:F15"/>
  <sheetViews>
    <sheetView workbookViewId="0">
      <selection activeCell="E19" sqref="E19"/>
    </sheetView>
  </sheetViews>
  <sheetFormatPr baseColWidth="10" defaultRowHeight="15" x14ac:dyDescent="0.25"/>
  <cols>
    <col min="3" max="3" width="73.28515625" bestFit="1" customWidth="1"/>
    <col min="5" max="5" width="14.85546875" bestFit="1" customWidth="1"/>
  </cols>
  <sheetData>
    <row r="1" spans="2:6" x14ac:dyDescent="0.25">
      <c r="B1" t="s">
        <v>13</v>
      </c>
    </row>
    <row r="2" spans="2:6" x14ac:dyDescent="0.25">
      <c r="B2" t="s">
        <v>16</v>
      </c>
      <c r="C2" t="s">
        <v>15</v>
      </c>
      <c r="D2" t="s">
        <v>17</v>
      </c>
      <c r="E2" t="s">
        <v>18</v>
      </c>
      <c r="F2" t="s">
        <v>19</v>
      </c>
    </row>
    <row r="3" spans="2:6" x14ac:dyDescent="0.25">
      <c r="B3" t="s">
        <v>0</v>
      </c>
      <c r="C3" t="s">
        <v>7</v>
      </c>
      <c r="D3">
        <v>15</v>
      </c>
      <c r="E3">
        <v>20</v>
      </c>
      <c r="F3">
        <f>Tableau1[[#This Row],[Fin/h]]-Tableau1[[#This Row],[Debut/h]]</f>
        <v>5</v>
      </c>
    </row>
    <row r="4" spans="2:6" x14ac:dyDescent="0.25">
      <c r="B4" t="s">
        <v>1</v>
      </c>
      <c r="C4" t="s">
        <v>8</v>
      </c>
      <c r="D4">
        <v>15</v>
      </c>
      <c r="E4">
        <v>20</v>
      </c>
      <c r="F4">
        <f>Tableau1[[#This Row],[Fin/h]]-Tableau1[[#This Row],[Debut/h]]</f>
        <v>5</v>
      </c>
    </row>
    <row r="5" spans="2:6" x14ac:dyDescent="0.25">
      <c r="B5" t="s">
        <v>2</v>
      </c>
      <c r="C5" t="s">
        <v>9</v>
      </c>
      <c r="D5">
        <v>15</v>
      </c>
      <c r="E5">
        <v>20</v>
      </c>
      <c r="F5">
        <f>Tableau1[[#This Row],[Fin/h]]-Tableau1[[#This Row],[Debut/h]]</f>
        <v>5</v>
      </c>
    </row>
    <row r="6" spans="2:6" x14ac:dyDescent="0.25">
      <c r="B6" t="s">
        <v>3</v>
      </c>
      <c r="C6" t="s">
        <v>10</v>
      </c>
      <c r="F6">
        <v>5</v>
      </c>
    </row>
    <row r="7" spans="2:6" x14ac:dyDescent="0.25">
      <c r="B7" t="s">
        <v>4</v>
      </c>
      <c r="C7" t="s">
        <v>11</v>
      </c>
      <c r="D7">
        <v>18</v>
      </c>
      <c r="E7">
        <v>20</v>
      </c>
      <c r="F7">
        <f>Tableau1[[#This Row],[Fin/h]]-Tableau1[[#This Row],[Debut/h]]</f>
        <v>2</v>
      </c>
    </row>
    <row r="8" spans="2:6" x14ac:dyDescent="0.25">
      <c r="B8" t="s">
        <v>5</v>
      </c>
      <c r="C8" t="s">
        <v>12</v>
      </c>
      <c r="D8">
        <v>15</v>
      </c>
      <c r="E8">
        <v>20</v>
      </c>
      <c r="F8">
        <f>Tableau1[[#This Row],[Fin/h]]-Tableau1[[#This Row],[Debut/h]]</f>
        <v>5</v>
      </c>
    </row>
    <row r="9" spans="2:6" x14ac:dyDescent="0.25">
      <c r="B9" t="s">
        <v>6</v>
      </c>
      <c r="C9" t="s">
        <v>14</v>
      </c>
      <c r="D9">
        <v>17</v>
      </c>
      <c r="E9">
        <v>20</v>
      </c>
      <c r="F9">
        <f>Tableau1[[#This Row],[Fin/h]]-Tableau1[[#This Row],[Debut/h]]</f>
        <v>3</v>
      </c>
    </row>
    <row r="10" spans="2:6" x14ac:dyDescent="0.25">
      <c r="E10" t="s">
        <v>20</v>
      </c>
      <c r="F10">
        <f>SUBTOTAL(109,F3:F9)</f>
        <v>30</v>
      </c>
    </row>
    <row r="13" spans="2:6" x14ac:dyDescent="0.25">
      <c r="E13" t="s">
        <v>21</v>
      </c>
      <c r="F13" t="s">
        <v>22</v>
      </c>
    </row>
    <row r="14" spans="2:6" x14ac:dyDescent="0.25">
      <c r="F14" t="s">
        <v>23</v>
      </c>
    </row>
    <row r="15" spans="2:6" x14ac:dyDescent="0.25">
      <c r="F15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26B7-7AF8-4FB8-8B0F-C59B9A0B51E1}">
  <dimension ref="B1:F15"/>
  <sheetViews>
    <sheetView workbookViewId="0">
      <selection activeCell="D3" sqref="D3"/>
    </sheetView>
  </sheetViews>
  <sheetFormatPr baseColWidth="10" defaultRowHeight="15" x14ac:dyDescent="0.25"/>
  <cols>
    <col min="3" max="3" width="73.28515625" bestFit="1" customWidth="1"/>
    <col min="5" max="5" width="14.85546875" bestFit="1" customWidth="1"/>
  </cols>
  <sheetData>
    <row r="1" spans="2:6" x14ac:dyDescent="0.25">
      <c r="B1" t="s">
        <v>25</v>
      </c>
    </row>
    <row r="2" spans="2:6" x14ac:dyDescent="0.25">
      <c r="B2" t="s">
        <v>16</v>
      </c>
      <c r="C2" t="s">
        <v>15</v>
      </c>
      <c r="D2" t="s">
        <v>17</v>
      </c>
      <c r="E2" t="s">
        <v>18</v>
      </c>
      <c r="F2" t="s">
        <v>19</v>
      </c>
    </row>
    <row r="3" spans="2:6" x14ac:dyDescent="0.25">
      <c r="B3" t="s">
        <v>0</v>
      </c>
      <c r="C3" t="s">
        <v>26</v>
      </c>
      <c r="D3">
        <v>10</v>
      </c>
      <c r="E3">
        <v>19</v>
      </c>
      <c r="F3">
        <f>Tableau13[[#This Row],[Fin/h]]-Tableau13[[#This Row],[Debut/h]]</f>
        <v>9</v>
      </c>
    </row>
    <row r="4" spans="2:6" x14ac:dyDescent="0.25">
      <c r="B4" t="s">
        <v>1</v>
      </c>
      <c r="C4" t="s">
        <v>27</v>
      </c>
      <c r="D4">
        <v>15</v>
      </c>
      <c r="E4">
        <v>20</v>
      </c>
      <c r="F4">
        <f>Tableau13[[#This Row],[Fin/h]]-Tableau13[[#This Row],[Debut/h]]</f>
        <v>5</v>
      </c>
    </row>
    <row r="5" spans="2:6" x14ac:dyDescent="0.25">
      <c r="B5" t="s">
        <v>2</v>
      </c>
      <c r="C5" t="s">
        <v>28</v>
      </c>
      <c r="D5">
        <v>15</v>
      </c>
      <c r="E5">
        <v>20</v>
      </c>
      <c r="F5">
        <f>Tableau13[[#This Row],[Fin/h]]-Tableau13[[#This Row],[Debut/h]]</f>
        <v>5</v>
      </c>
    </row>
    <row r="6" spans="2:6" x14ac:dyDescent="0.25">
      <c r="B6" t="s">
        <v>3</v>
      </c>
      <c r="C6" t="s">
        <v>29</v>
      </c>
      <c r="F6">
        <v>5</v>
      </c>
    </row>
    <row r="7" spans="2:6" x14ac:dyDescent="0.25">
      <c r="B7" t="s">
        <v>4</v>
      </c>
      <c r="C7" t="s">
        <v>30</v>
      </c>
      <c r="D7">
        <v>18</v>
      </c>
      <c r="E7">
        <v>20</v>
      </c>
      <c r="F7">
        <f>Tableau13[[#This Row],[Fin/h]]-Tableau13[[#This Row],[Debut/h]]</f>
        <v>2</v>
      </c>
    </row>
    <row r="8" spans="2:6" x14ac:dyDescent="0.25">
      <c r="B8" t="s">
        <v>5</v>
      </c>
      <c r="C8" t="s">
        <v>12</v>
      </c>
      <c r="D8">
        <v>15</v>
      </c>
      <c r="E8">
        <v>20</v>
      </c>
      <c r="F8">
        <f>Tableau13[[#This Row],[Fin/h]]-Tableau13[[#This Row],[Debut/h]]</f>
        <v>5</v>
      </c>
    </row>
    <row r="9" spans="2:6" x14ac:dyDescent="0.25">
      <c r="B9" t="s">
        <v>6</v>
      </c>
      <c r="C9" t="s">
        <v>14</v>
      </c>
      <c r="D9">
        <v>17</v>
      </c>
      <c r="E9">
        <v>20</v>
      </c>
      <c r="F9">
        <f>Tableau13[[#This Row],[Fin/h]]-Tableau13[[#This Row],[Debut/h]]</f>
        <v>3</v>
      </c>
    </row>
    <row r="10" spans="2:6" x14ac:dyDescent="0.25">
      <c r="E10" t="s">
        <v>20</v>
      </c>
      <c r="F10">
        <f>SUBTOTAL(109,F3:F9)</f>
        <v>34</v>
      </c>
    </row>
    <row r="13" spans="2:6" x14ac:dyDescent="0.25">
      <c r="E13" t="s">
        <v>21</v>
      </c>
      <c r="F13" t="s">
        <v>22</v>
      </c>
    </row>
    <row r="14" spans="2:6" x14ac:dyDescent="0.25">
      <c r="F14" t="s">
        <v>23</v>
      </c>
    </row>
    <row r="15" spans="2:6" x14ac:dyDescent="0.25">
      <c r="F15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A8B8-4FEB-4A0E-8BFD-3E840464911F}">
  <dimension ref="B1:F15"/>
  <sheetViews>
    <sheetView workbookViewId="0">
      <selection activeCell="D8" sqref="D8"/>
    </sheetView>
  </sheetViews>
  <sheetFormatPr baseColWidth="10" defaultRowHeight="15" x14ac:dyDescent="0.25"/>
  <cols>
    <col min="3" max="3" width="73.28515625" bestFit="1" customWidth="1"/>
    <col min="5" max="5" width="14.85546875" bestFit="1" customWidth="1"/>
  </cols>
  <sheetData>
    <row r="1" spans="2:6" x14ac:dyDescent="0.25">
      <c r="B1" t="s">
        <v>25</v>
      </c>
    </row>
    <row r="2" spans="2:6" x14ac:dyDescent="0.25">
      <c r="B2" t="s">
        <v>16</v>
      </c>
      <c r="C2" t="s">
        <v>15</v>
      </c>
      <c r="D2" t="s">
        <v>17</v>
      </c>
      <c r="E2" t="s">
        <v>18</v>
      </c>
      <c r="F2" t="s">
        <v>19</v>
      </c>
    </row>
    <row r="3" spans="2:6" x14ac:dyDescent="0.25">
      <c r="B3" t="s">
        <v>0</v>
      </c>
      <c r="C3" t="s">
        <v>27</v>
      </c>
      <c r="D3">
        <v>18</v>
      </c>
      <c r="E3">
        <v>20</v>
      </c>
      <c r="F3">
        <f>Tableau134[[#This Row],[Fin/h]]-Tableau134[[#This Row],[Debut/h]]</f>
        <v>2</v>
      </c>
    </row>
    <row r="4" spans="2:6" x14ac:dyDescent="0.25">
      <c r="B4" t="s">
        <v>1</v>
      </c>
      <c r="C4" t="s">
        <v>27</v>
      </c>
      <c r="D4">
        <v>18</v>
      </c>
      <c r="E4">
        <v>20</v>
      </c>
      <c r="F4">
        <f>Tableau134[[#This Row],[Fin/h]]-Tableau134[[#This Row],[Debut/h]]</f>
        <v>2</v>
      </c>
    </row>
    <row r="5" spans="2:6" x14ac:dyDescent="0.25">
      <c r="B5" t="s">
        <v>2</v>
      </c>
      <c r="C5" t="s">
        <v>28</v>
      </c>
      <c r="D5">
        <v>18</v>
      </c>
      <c r="E5">
        <v>20</v>
      </c>
      <c r="F5">
        <f>Tableau134[[#This Row],[Fin/h]]-Tableau134[[#This Row],[Debut/h]]</f>
        <v>2</v>
      </c>
    </row>
    <row r="6" spans="2:6" x14ac:dyDescent="0.25">
      <c r="B6" t="s">
        <v>3</v>
      </c>
      <c r="C6" t="s">
        <v>29</v>
      </c>
      <c r="D6">
        <v>18</v>
      </c>
      <c r="E6">
        <v>20</v>
      </c>
      <c r="F6">
        <f>Tableau134[[#This Row],[Fin/h]]-Tableau134[[#This Row],[Debut/h]]</f>
        <v>2</v>
      </c>
    </row>
    <row r="7" spans="2:6" x14ac:dyDescent="0.25">
      <c r="B7" t="s">
        <v>4</v>
      </c>
      <c r="C7" t="s">
        <v>30</v>
      </c>
      <c r="D7">
        <v>18</v>
      </c>
      <c r="E7">
        <v>20</v>
      </c>
      <c r="F7">
        <f>Tableau134[[#This Row],[Fin/h]]-Tableau134[[#This Row],[Debut/h]]</f>
        <v>2</v>
      </c>
    </row>
    <row r="8" spans="2:6" x14ac:dyDescent="0.25">
      <c r="B8" t="s">
        <v>5</v>
      </c>
      <c r="C8" t="s">
        <v>12</v>
      </c>
      <c r="D8">
        <v>15</v>
      </c>
      <c r="E8">
        <v>20</v>
      </c>
      <c r="F8">
        <f>Tableau134[[#This Row],[Fin/h]]-Tableau134[[#This Row],[Debut/h]]</f>
        <v>5</v>
      </c>
    </row>
    <row r="9" spans="2:6" x14ac:dyDescent="0.25">
      <c r="B9" t="s">
        <v>6</v>
      </c>
      <c r="C9" t="s">
        <v>14</v>
      </c>
      <c r="D9">
        <v>17</v>
      </c>
      <c r="E9">
        <v>20</v>
      </c>
      <c r="F9">
        <f>Tableau134[[#This Row],[Fin/h]]-Tableau134[[#This Row],[Debut/h]]</f>
        <v>3</v>
      </c>
    </row>
    <row r="10" spans="2:6" x14ac:dyDescent="0.25">
      <c r="E10" t="s">
        <v>20</v>
      </c>
      <c r="F10">
        <f>SUBTOTAL(109,F3:F9)</f>
        <v>18</v>
      </c>
    </row>
    <row r="13" spans="2:6" x14ac:dyDescent="0.25">
      <c r="E13" t="s">
        <v>21</v>
      </c>
      <c r="F13" t="s">
        <v>22</v>
      </c>
    </row>
    <row r="14" spans="2:6" x14ac:dyDescent="0.25">
      <c r="F14" t="s">
        <v>23</v>
      </c>
    </row>
    <row r="15" spans="2:6" x14ac:dyDescent="0.25">
      <c r="F15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D771-4175-4455-AB30-589C790D1B2A}">
  <dimension ref="B1:F15"/>
  <sheetViews>
    <sheetView tabSelected="1" workbookViewId="0">
      <selection activeCell="C12" sqref="C12"/>
    </sheetView>
  </sheetViews>
  <sheetFormatPr baseColWidth="10" defaultRowHeight="15" x14ac:dyDescent="0.25"/>
  <cols>
    <col min="3" max="3" width="73.28515625" bestFit="1" customWidth="1"/>
    <col min="5" max="5" width="14.85546875" bestFit="1" customWidth="1"/>
  </cols>
  <sheetData>
    <row r="1" spans="2:6" x14ac:dyDescent="0.25">
      <c r="B1" t="s">
        <v>31</v>
      </c>
    </row>
    <row r="2" spans="2:6" x14ac:dyDescent="0.25">
      <c r="B2" t="s">
        <v>16</v>
      </c>
      <c r="C2" t="s">
        <v>15</v>
      </c>
      <c r="D2" t="s">
        <v>17</v>
      </c>
      <c r="E2" t="s">
        <v>18</v>
      </c>
      <c r="F2" t="s">
        <v>19</v>
      </c>
    </row>
    <row r="3" spans="2:6" x14ac:dyDescent="0.25">
      <c r="B3" t="s">
        <v>0</v>
      </c>
      <c r="C3" t="s">
        <v>32</v>
      </c>
      <c r="D3">
        <v>18</v>
      </c>
      <c r="E3">
        <v>20</v>
      </c>
      <c r="F3">
        <f>Tableau1345[[#This Row],[Fin/h]]-Tableau1345[[#This Row],[Debut/h]]</f>
        <v>2</v>
      </c>
    </row>
    <row r="4" spans="2:6" x14ac:dyDescent="0.25">
      <c r="B4" t="s">
        <v>1</v>
      </c>
      <c r="C4" t="s">
        <v>33</v>
      </c>
      <c r="D4">
        <v>18</v>
      </c>
      <c r="E4">
        <v>20</v>
      </c>
      <c r="F4">
        <f>Tableau1345[[#This Row],[Fin/h]]-Tableau1345[[#This Row],[Debut/h]]</f>
        <v>2</v>
      </c>
    </row>
    <row r="5" spans="2:6" x14ac:dyDescent="0.25">
      <c r="B5" t="s">
        <v>2</v>
      </c>
      <c r="C5" t="s">
        <v>34</v>
      </c>
      <c r="D5">
        <v>18</v>
      </c>
      <c r="E5">
        <v>20</v>
      </c>
      <c r="F5">
        <f>Tableau1345[[#This Row],[Fin/h]]-Tableau1345[[#This Row],[Debut/h]]</f>
        <v>2</v>
      </c>
    </row>
    <row r="6" spans="2:6" x14ac:dyDescent="0.25">
      <c r="B6" t="s">
        <v>3</v>
      </c>
      <c r="C6" t="s">
        <v>35</v>
      </c>
      <c r="D6">
        <v>18</v>
      </c>
      <c r="E6">
        <v>20</v>
      </c>
      <c r="F6">
        <f>Tableau1345[[#This Row],[Fin/h]]-Tableau1345[[#This Row],[Debut/h]]</f>
        <v>2</v>
      </c>
    </row>
    <row r="7" spans="2:6" x14ac:dyDescent="0.25">
      <c r="B7" t="s">
        <v>4</v>
      </c>
      <c r="C7" t="s">
        <v>36</v>
      </c>
      <c r="D7">
        <v>18</v>
      </c>
      <c r="E7">
        <v>20</v>
      </c>
      <c r="F7">
        <f>Tableau1345[[#This Row],[Fin/h]]-Tableau1345[[#This Row],[Debut/h]]</f>
        <v>2</v>
      </c>
    </row>
    <row r="8" spans="2:6" x14ac:dyDescent="0.25">
      <c r="B8" t="s">
        <v>5</v>
      </c>
      <c r="C8" t="s">
        <v>37</v>
      </c>
      <c r="D8">
        <v>13</v>
      </c>
      <c r="E8">
        <v>20</v>
      </c>
      <c r="F8">
        <f>Tableau1345[[#This Row],[Fin/h]]-Tableau1345[[#This Row],[Debut/h]]</f>
        <v>7</v>
      </c>
    </row>
    <row r="9" spans="2:6" x14ac:dyDescent="0.25">
      <c r="B9" t="s">
        <v>6</v>
      </c>
      <c r="C9" t="s">
        <v>14</v>
      </c>
      <c r="D9">
        <v>12</v>
      </c>
      <c r="E9">
        <v>15</v>
      </c>
      <c r="F9">
        <f>Tableau1345[[#This Row],[Fin/h]]-Tableau1345[[#This Row],[Debut/h]]</f>
        <v>3</v>
      </c>
    </row>
    <row r="10" spans="2:6" x14ac:dyDescent="0.25">
      <c r="E10" t="s">
        <v>20</v>
      </c>
      <c r="F10">
        <f>SUBTOTAL(109,F3:F9)</f>
        <v>20</v>
      </c>
    </row>
    <row r="13" spans="2:6" x14ac:dyDescent="0.25">
      <c r="E13" t="s">
        <v>21</v>
      </c>
      <c r="F13" t="s">
        <v>22</v>
      </c>
    </row>
    <row r="14" spans="2:6" x14ac:dyDescent="0.25">
      <c r="F14" t="s">
        <v>23</v>
      </c>
    </row>
    <row r="15" spans="2:6" x14ac:dyDescent="0.25">
      <c r="F1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 2</vt:lpstr>
      <vt:lpstr>Feuil 3</vt:lpstr>
      <vt:lpstr>Feuil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Massoya</dc:creator>
  <cp:lastModifiedBy>Laurent Massoya</cp:lastModifiedBy>
  <dcterms:created xsi:type="dcterms:W3CDTF">2026-07-26T14:02:07Z</dcterms:created>
  <dcterms:modified xsi:type="dcterms:W3CDTF">2026-09-06T20:55:57Z</dcterms:modified>
</cp:coreProperties>
</file>